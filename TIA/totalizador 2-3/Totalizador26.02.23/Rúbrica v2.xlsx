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DESCRIP" sheetId="2" r:id="rId6"/>
    <sheet state="visible" name="CONFIG" sheetId="3" r:id="rId7"/>
  </sheets>
  <definedNames>
    <definedName hidden="1" localSheetId="0" name="_xlnm._FilterDatabase">NOTAS!$A$1:$K$10</definedName>
  </definedNames>
  <calcPr/>
</workbook>
</file>

<file path=xl/sharedStrings.xml><?xml version="1.0" encoding="utf-8"?>
<sst xmlns="http://schemas.openxmlformats.org/spreadsheetml/2006/main" count="46" uniqueCount="39">
  <si>
    <t>ESTUDIANTE</t>
  </si>
  <si>
    <t>CURSADA</t>
  </si>
  <si>
    <t>DOCENTE</t>
  </si>
  <si>
    <t>NOTA</t>
  </si>
  <si>
    <t>MANUAL</t>
  </si>
  <si>
    <t>FOSSATI, FACUNDO</t>
  </si>
  <si>
    <t>2025-1C</t>
  </si>
  <si>
    <t>GALEANO, LUCA</t>
  </si>
  <si>
    <t>2025-2C</t>
  </si>
  <si>
    <t>Sebastián</t>
  </si>
  <si>
    <t>GÓMEZ, STEFANO</t>
  </si>
  <si>
    <t>2024-1C</t>
  </si>
  <si>
    <t>Valeria</t>
  </si>
  <si>
    <t>GONZÁLEZ, BRIAN</t>
  </si>
  <si>
    <t>Gabriel</t>
  </si>
  <si>
    <t>HANSEN, BAUTISTA</t>
  </si>
  <si>
    <t>2024-2C</t>
  </si>
  <si>
    <t>Franco</t>
  </si>
  <si>
    <t>RAGUSA, LUCAS PABLO</t>
  </si>
  <si>
    <t>SENA GARCÍA, JULIETA</t>
  </si>
  <si>
    <t>SOSA, LUCAS</t>
  </si>
  <si>
    <t>Sandra</t>
  </si>
  <si>
    <t>VECA, AGUSTIN</t>
  </si>
  <si>
    <t>Mariano</t>
  </si>
  <si>
    <t>Estructura del documento HTML y uso de etiquetas básicas. 
Descontar puntaje si utilizan incorrectamente etiquetas con 
fines estéticos (B, U, I, MARK, BR, HR, etc).</t>
  </si>
  <si>
    <t>Uso apropiado de clases, pseudo-clases y estilos básicos. No 
suma puntaje si no utiliza ninguna clase.</t>
  </si>
  <si>
    <t>Uso apropiado de GRID y sus propiedades en los lugares 
donde corresponda aplicarlo.</t>
  </si>
  <si>
    <t>Uso apropiado de etiquetas semánticas. Como mínimo deben 
utilizar HEADER, NAV, MAIN y FOOTER en todas las páginas. 
Uso de lista dentro del NAV.</t>
  </si>
  <si>
    <t>Uso apropiado de FLEXBOX y sus propiedades en los lugares 
donde corresponda aplicarlo.</t>
  </si>
  <si>
    <t>Estructura del formulario. Uso de etiqueta FORM. Elección del 
método correcto. Uso de etiquetas y atributos apropiados para 
cada campo. Existencia de un botón de envío.</t>
  </si>
  <si>
    <t>NOTA APROB</t>
  </si>
  <si>
    <t>NOTA MAX</t>
  </si>
  <si>
    <t>HTML</t>
  </si>
  <si>
    <t>CSS</t>
  </si>
  <si>
    <t>GRID</t>
  </si>
  <si>
    <t>SEMANT</t>
  </si>
  <si>
    <t>FLEXBOX</t>
  </si>
  <si>
    <t>FORM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</si>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</sst>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3" fontId="2" numFmtId="49" xfId="0" applyAlignment="1" applyFill="1" applyFont="1" applyNumberFormat="1">
      <alignment horizontal="center" readingOrder="0"/>
    </xf>
    <xf borderId="0" fillId="3" fontId="2" numFmtId="49" xfId="0" applyAlignment="1" applyFont="1" applyNumberFormat="1">
      <alignment horizontal="left" readingOrder="0"/>
    </xf>
    <xf borderId="0" fillId="3" fontId="3" numFmtId="49" xfId="0" applyAlignment="1" applyFont="1" applyNumberFormat="1">
      <alignment horizontal="left" readingOrder="0" vertical="center"/>
    </xf>
    <xf borderId="0" fillId="3" fontId="3" numFmtId="0" xfId="0" applyAlignment="1" applyFont="1">
      <alignment horizontal="center" vertical="center"/>
    </xf>
    <xf borderId="0" fillId="3" fontId="4" numFmtId="1" xfId="0" applyAlignment="1" applyFont="1" applyNumberFormat="1">
      <alignment horizontal="center" vertical="center"/>
    </xf>
    <xf borderId="0" fillId="3" fontId="5" numFmtId="49" xfId="0" applyAlignment="1" applyFont="1" applyNumberFormat="1">
      <alignment horizontal="left" readingOrder="0"/>
    </xf>
    <xf borderId="0" fillId="3" fontId="3" numFmtId="0" xfId="0" applyAlignment="1" applyFont="1">
      <alignment horizontal="center" readingOrder="0" vertical="center"/>
    </xf>
    <xf borderId="0" fillId="3" fontId="4" numFmtId="49" xfId="0" applyAlignment="1" applyFont="1" applyNumberFormat="1">
      <alignment horizontal="left" readingOrder="0" vertical="center"/>
    </xf>
    <xf borderId="0" fillId="3" fontId="3" numFmtId="1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  <xf borderId="0" fillId="3" fontId="3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1.13"/>
    <col customWidth="1" min="2" max="2" width="11.88"/>
    <col customWidth="1" min="3" max="3" width="12.63"/>
  </cols>
  <sheetData>
    <row r="1">
      <c r="A1" s="1" t="s">
        <v>0</v>
      </c>
      <c r="B1" s="1" t="s">
        <v>1</v>
      </c>
      <c r="C1" s="1" t="s">
        <v>2</v>
      </c>
      <c r="D1" s="1" t="str">
        <f>CONFIG!$A$4</f>
        <v>HTML</v>
      </c>
      <c r="E1" s="1" t="str">
        <f>CONFIG!$A$5</f>
        <v>CSS</v>
      </c>
      <c r="F1" s="1" t="str">
        <f>CONFIG!$A$6</f>
        <v>GRID</v>
      </c>
      <c r="G1" s="1" t="str">
        <f>CONFIG!$A$7</f>
        <v>SEMANT</v>
      </c>
      <c r="H1" s="1" t="str">
        <f>CONFIG!$A$8</f>
        <v>FLEXBOX</v>
      </c>
      <c r="I1" s="1" t="str">
        <f>CONFIG!$A$9</f>
        <v>FORM</v>
      </c>
      <c r="J1" s="1" t="s">
        <v>3</v>
      </c>
      <c r="K1" s="1" t="s">
        <v>4</v>
      </c>
    </row>
    <row r="2">
      <c r="A2" s="2" t="s">
        <v>5</v>
      </c>
      <c r="B2" s="3" t="s">
        <v>6</v>
      </c>
      <c r="C2" s="4"/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6">
        <f t="array" ref="J2">ROUND(SUMPRODUCT(TRANSPOSE(CONFIG!$B$4:$B$9),D2:I2)*CONFIG!$B$2/5,0)</f>
        <v>0</v>
      </c>
      <c r="K2" s="6"/>
    </row>
    <row r="3">
      <c r="A3" s="2" t="s">
        <v>7</v>
      </c>
      <c r="B3" s="3" t="s">
        <v>8</v>
      </c>
      <c r="C3" s="4" t="s">
        <v>9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6">
        <f t="array" ref="J3">ROUND(SUMPRODUCT(TRANSPOSE(CONFIG!$B$4:$B$9),D3:I3)*CONFIG!$B$2/5,0)</f>
        <v>0</v>
      </c>
      <c r="K3" s="6"/>
    </row>
    <row r="4">
      <c r="A4" s="2" t="s">
        <v>10</v>
      </c>
      <c r="B4" s="7" t="s">
        <v>11</v>
      </c>
      <c r="C4" s="4" t="s">
        <v>12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6">
        <f t="array" ref="J4">ROUND(SUMPRODUCT(TRANSPOSE(CONFIG!$B$4:$B$9),D4:I4)*CONFIG!$B$2/5,0)</f>
        <v>0</v>
      </c>
      <c r="K4" s="6"/>
    </row>
    <row r="5">
      <c r="A5" s="2" t="s">
        <v>13</v>
      </c>
      <c r="B5" s="3" t="s">
        <v>8</v>
      </c>
      <c r="C5" s="4" t="s">
        <v>14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6">
        <f t="array" ref="J5">ROUND(SUMPRODUCT(TRANSPOSE(CONFIG!$B$4:$B$9),D5:I5)*CONFIG!$B$2/5,0)</f>
        <v>0</v>
      </c>
      <c r="K5" s="6"/>
    </row>
    <row r="6">
      <c r="A6" s="2" t="s">
        <v>15</v>
      </c>
      <c r="B6" s="7" t="s">
        <v>16</v>
      </c>
      <c r="C6" s="4" t="s">
        <v>17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6">
        <f t="array" ref="J6">ROUND(SUMPRODUCT(TRANSPOSE(CONFIG!$B$4:$B$9),D6:I6)*CONFIG!$B$2/5,0)</f>
        <v>0</v>
      </c>
      <c r="K6" s="6"/>
    </row>
    <row r="7">
      <c r="A7" s="2" t="s">
        <v>18</v>
      </c>
      <c r="B7" s="7" t="s">
        <v>11</v>
      </c>
      <c r="C7" s="4" t="s">
        <v>12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6">
        <f t="array" ref="J7">ROUND(SUMPRODUCT(TRANSPOSE(CONFIG!$B$4:$B$9),D7:I7)*CONFIG!$B$2/5,0)</f>
        <v>0</v>
      </c>
      <c r="K7" s="6"/>
    </row>
    <row r="8">
      <c r="A8" s="2" t="s">
        <v>19</v>
      </c>
      <c r="B8" s="3" t="s">
        <v>6</v>
      </c>
      <c r="C8" s="4"/>
      <c r="D8" s="5">
        <v>0.0</v>
      </c>
      <c r="E8" s="5">
        <v>0.0</v>
      </c>
      <c r="F8" s="5">
        <v>0.0</v>
      </c>
      <c r="G8" s="5">
        <v>0.0</v>
      </c>
      <c r="H8" s="8">
        <v>0.0</v>
      </c>
      <c r="I8" s="5">
        <v>0.0</v>
      </c>
      <c r="J8" s="6">
        <f t="array" ref="J8">ROUND(SUMPRODUCT(TRANSPOSE(CONFIG!$B$4:$B$9),D8:I8)*CONFIG!$B$2/5,0)</f>
        <v>0</v>
      </c>
      <c r="K8" s="6"/>
    </row>
    <row r="9">
      <c r="A9" s="2" t="s">
        <v>20</v>
      </c>
      <c r="B9" s="3" t="s">
        <v>8</v>
      </c>
      <c r="C9" s="4" t="s">
        <v>21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6">
        <f t="array" ref="J9">ROUND(SUMPRODUCT(TRANSPOSE(CONFIG!$B$4:$B$9),D9:I9)*CONFIG!$B$2/5,0)</f>
        <v>0</v>
      </c>
      <c r="K9" s="6"/>
    </row>
    <row r="10">
      <c r="A10" s="2" t="s">
        <v>22</v>
      </c>
      <c r="B10" s="3" t="s">
        <v>8</v>
      </c>
      <c r="C10" s="4" t="s">
        <v>23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6">
        <f t="array" ref="J10">ROUND(SUMPRODUCT(TRANSPOSE(CONFIG!$B$4:$B$9),D10:I10)*CONFIG!$B$2/5,0)</f>
        <v>0</v>
      </c>
      <c r="K10" s="6"/>
    </row>
  </sheetData>
  <autoFilter ref="$A$1:$K$10"/>
  <conditionalFormatting sqref="J2:K10">
    <cfRule type="expression" dxfId="0" priority="1">
      <formula>J2&gt;=INDIRECT("CONFIG!$B$1")</formula>
    </cfRule>
  </conditionalFormatting>
  <conditionalFormatting sqref="J2:K10">
    <cfRule type="expression" dxfId="1" priority="2">
      <formula>J2&lt;INDIRECT("CONFIG!$B$1")</formula>
    </cfRule>
  </conditionalFormatting>
  <conditionalFormatting sqref="D2:I10">
    <cfRule type="colorScale" priority="3">
      <colorScale>
        <cfvo type="formula" val="0"/>
        <cfvo type="formula" val="2"/>
        <cfvo type="formula" val="5"/>
        <color rgb="FFF4CCCC"/>
        <color rgb="FFFCE5CD"/>
        <color rgb="FFD9EAD3"/>
      </colorScale>
    </cfRule>
  </conditionalFormatting>
  <dataValidations>
    <dataValidation type="list" allowBlank="1" showErrorMessage="1" sqref="D2:I10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</cols>
  <sheetData>
    <row r="1">
      <c r="A1" s="1" t="str">
        <f>CONFIG!A4</f>
        <v>HTML</v>
      </c>
      <c r="B1" s="4" t="s">
        <v>24</v>
      </c>
    </row>
    <row r="2">
      <c r="A2" s="1" t="str">
        <f>CONFIG!A5</f>
        <v>CSS</v>
      </c>
      <c r="B2" s="4" t="s">
        <v>25</v>
      </c>
    </row>
    <row r="3">
      <c r="A3" s="1" t="str">
        <f>CONFIG!A6</f>
        <v>GRID</v>
      </c>
      <c r="B3" s="4" t="s">
        <v>26</v>
      </c>
    </row>
    <row r="4">
      <c r="A4" s="1" t="str">
        <f>CONFIG!A7</f>
        <v>SEMANT</v>
      </c>
      <c r="B4" s="4" t="s">
        <v>27</v>
      </c>
    </row>
    <row r="5">
      <c r="A5" s="1" t="str">
        <f>CONFIG!A8</f>
        <v>FLEXBOX</v>
      </c>
      <c r="B5" s="4" t="s">
        <v>28</v>
      </c>
    </row>
    <row r="6">
      <c r="A6" s="1" t="str">
        <f>CONFIG!A9</f>
        <v>FORM</v>
      </c>
      <c r="B6" s="4" t="s">
        <v>29</v>
      </c>
    </row>
    <row r="7">
      <c r="A7" s="1" t="s">
        <v>3</v>
      </c>
      <c r="B7" s="9" t="str">
        <f>"El examen se califica sobre "&amp;CONFIG!$B$2&amp;" y se aprueba con "&amp;CONFIG!$B$1</f>
        <v>El examen se califica sobre 100 y se aprueba con 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0">
        <v>50.0</v>
      </c>
    </row>
    <row r="2">
      <c r="A2" s="1" t="s">
        <v>31</v>
      </c>
      <c r="B2" s="10">
        <v>100.0</v>
      </c>
    </row>
    <row r="3">
      <c r="A3" s="11"/>
      <c r="B3" s="12"/>
    </row>
    <row r="4">
      <c r="A4" s="1" t="s">
        <v>32</v>
      </c>
      <c r="B4" s="13">
        <v>0.2</v>
      </c>
    </row>
    <row r="5">
      <c r="A5" s="1" t="s">
        <v>33</v>
      </c>
      <c r="B5" s="13">
        <v>0.2</v>
      </c>
    </row>
    <row r="6">
      <c r="A6" s="1" t="s">
        <v>34</v>
      </c>
      <c r="B6" s="13">
        <v>0.2</v>
      </c>
    </row>
    <row r="7">
      <c r="A7" s="1" t="s">
        <v>35</v>
      </c>
      <c r="B7" s="13">
        <v>0.1</v>
      </c>
    </row>
    <row r="8">
      <c r="A8" s="1" t="s">
        <v>36</v>
      </c>
      <c r="B8" s="13">
        <v>0.2</v>
      </c>
    </row>
    <row r="9">
      <c r="A9" s="1" t="s">
        <v>37</v>
      </c>
      <c r="B9" s="13">
        <v>0.1</v>
      </c>
    </row>
    <row r="10">
      <c r="A10" s="1" t="s">
        <v>38</v>
      </c>
      <c r="B10" s="13">
        <f>SUM(B4:B9)</f>
        <v>1</v>
      </c>
    </row>
  </sheetData>
  <drawing r:id="rId1"/>
</worksheet>
</file>
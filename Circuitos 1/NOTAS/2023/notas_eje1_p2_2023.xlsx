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1315" windowHeight="10050"/>
  </bookViews>
  <sheets>
    <sheet name="parcial2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  <c r="F2" i="1"/>
  <c r="E4" i="1" l="1"/>
  <c r="E3" i="1"/>
  <c r="E2" i="1"/>
  <c r="D4" i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3" i="1"/>
  <c r="D2" i="1"/>
</calcChain>
</file>

<file path=xl/sharedStrings.xml><?xml version="1.0" encoding="utf-8"?>
<sst xmlns="http://schemas.openxmlformats.org/spreadsheetml/2006/main" count="29" uniqueCount="25">
  <si>
    <t>alumno</t>
  </si>
  <si>
    <t>p1</t>
  </si>
  <si>
    <t>p2</t>
  </si>
  <si>
    <t>mosler</t>
  </si>
  <si>
    <t>pipoli</t>
  </si>
  <si>
    <t>rosatelli</t>
  </si>
  <si>
    <t>otero</t>
  </si>
  <si>
    <t>colavita</t>
  </si>
  <si>
    <t>gimenez</t>
  </si>
  <si>
    <t>salas</t>
  </si>
  <si>
    <t>gianoli</t>
  </si>
  <si>
    <t>septien</t>
  </si>
  <si>
    <t>maurizio</t>
  </si>
  <si>
    <t>observaciones</t>
  </si>
  <si>
    <t>gutierrez</t>
  </si>
  <si>
    <t>total</t>
  </si>
  <si>
    <t>ponderado</t>
  </si>
  <si>
    <t>b) tiene un error en vo debido a vos3- lo considero que el desarrollo es correcto</t>
  </si>
  <si>
    <t>b) considera que hay v0 debido a ib- de los opamp1 y 2. Mal resultado vomax/min</t>
  </si>
  <si>
    <t>b) considera mal los signos de ib3. Mal resultado vomax/min</t>
  </si>
  <si>
    <t>b) considera que hay v0 debido a ib- de los opamp1 y 2. no considera desajuste por ib3 ni vos3.  Mal resultado vomax/min</t>
  </si>
  <si>
    <t>b) Mal consideracion de vos como +-. No dice como se calcula ibmax/ibmin. Arrastra errores. Confuso el desarrollo</t>
  </si>
  <si>
    <t>a) redondea innecesariamente. Considero que esta correcto porque desarrolla el ejercicio b)no considera el desajusto por ib3+. Considera desajuste por ib1-. El resultado y el desarrollo no es claro</t>
  </si>
  <si>
    <t>a)considera que va=-v1 y vb=-v2. considero que esta correcto porque desarrolla el ejercicio. b) considera que hay v0 debido a ib- de los opamp1 y 2. Mal signo de ib- e ib+. Mal resultado vomax/min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</si>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</sst>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F20" sqref="F20"/>
    </sheetView>
  </sheetViews>
  <sheetFormatPr baseColWidth="10" defaultRowHeight="15" x14ac:dyDescent="0.25"/>
  <cols>
    <col min="2" max="2" width="4" bestFit="1" customWidth="1"/>
    <col min="3" max="3" width="5" bestFit="1" customWidth="1"/>
    <col min="4" max="4" width="11.85546875" bestFit="1" customWidth="1"/>
    <col min="5" max="5" width="10.7109375" bestFit="1" customWidth="1"/>
    <col min="6" max="6" width="33.85546875" customWidth="1"/>
    <col min="7" max="7" width="177.57031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15</v>
      </c>
      <c r="E1" s="5" t="s">
        <v>16</v>
      </c>
      <c r="F1" s="7" t="s">
        <v>24</v>
      </c>
      <c r="G1" s="4" t="s">
        <v>13</v>
      </c>
    </row>
    <row r="2" spans="1:7" x14ac:dyDescent="0.25">
      <c r="A2" s="4" t="s">
        <v>3</v>
      </c>
      <c r="B2" s="2">
        <v>0.4</v>
      </c>
      <c r="C2" s="2">
        <v>0.48</v>
      </c>
      <c r="D2" s="2">
        <f>SUM(B2,C2)</f>
        <v>0.88</v>
      </c>
      <c r="E2" s="3">
        <f>3*(D2)</f>
        <v>2.64</v>
      </c>
      <c r="F2" s="6">
        <f>E2*10/3</f>
        <v>8.8000000000000007</v>
      </c>
      <c r="G2" s="2" t="s">
        <v>18</v>
      </c>
    </row>
    <row r="3" spans="1:7" x14ac:dyDescent="0.25">
      <c r="A3" s="4" t="s">
        <v>4</v>
      </c>
      <c r="B3" s="2">
        <v>0.4</v>
      </c>
      <c r="C3" s="2">
        <v>0.48</v>
      </c>
      <c r="D3" s="2">
        <f>SUM(B3,C3)</f>
        <v>0.88</v>
      </c>
      <c r="E3" s="3">
        <f>3*D3</f>
        <v>2.64</v>
      </c>
      <c r="F3" s="6">
        <f>E3*10/3</f>
        <v>8.8000000000000007</v>
      </c>
      <c r="G3" s="2" t="s">
        <v>18</v>
      </c>
    </row>
    <row r="4" spans="1:7" x14ac:dyDescent="0.25">
      <c r="A4" s="4" t="s">
        <v>5</v>
      </c>
      <c r="B4" s="2">
        <v>0.4</v>
      </c>
      <c r="C4" s="2">
        <v>0.48</v>
      </c>
      <c r="D4" s="2">
        <f t="shared" ref="D4:D12" si="0">SUM(B4,C4)</f>
        <v>0.88</v>
      </c>
      <c r="E4" s="3">
        <f t="shared" ref="E4" si="1">3*(D4)</f>
        <v>2.64</v>
      </c>
      <c r="F4" s="6">
        <f t="shared" ref="F4:F12" si="2">E4*10/3</f>
        <v>8.8000000000000007</v>
      </c>
      <c r="G4" s="2" t="s">
        <v>23</v>
      </c>
    </row>
    <row r="5" spans="1:7" x14ac:dyDescent="0.25">
      <c r="A5" s="4" t="s">
        <v>6</v>
      </c>
      <c r="B5" s="2">
        <v>0.4</v>
      </c>
      <c r="C5" s="2">
        <v>0.6</v>
      </c>
      <c r="D5" s="2">
        <f t="shared" si="0"/>
        <v>1</v>
      </c>
      <c r="E5" s="3">
        <f t="shared" ref="E5" si="3">3*D5</f>
        <v>3</v>
      </c>
      <c r="F5" s="6">
        <f t="shared" si="2"/>
        <v>10</v>
      </c>
      <c r="G5" s="2" t="s">
        <v>17</v>
      </c>
    </row>
    <row r="6" spans="1:7" x14ac:dyDescent="0.25">
      <c r="A6" s="4" t="s">
        <v>7</v>
      </c>
      <c r="B6" s="2">
        <v>0.4</v>
      </c>
      <c r="C6" s="2">
        <v>0.24</v>
      </c>
      <c r="D6" s="2">
        <f t="shared" si="0"/>
        <v>0.64</v>
      </c>
      <c r="E6" s="3">
        <f t="shared" ref="E6" si="4">3*(D6)</f>
        <v>1.92</v>
      </c>
      <c r="F6" s="6">
        <f t="shared" si="2"/>
        <v>6.3999999999999995</v>
      </c>
      <c r="G6" s="2" t="s">
        <v>21</v>
      </c>
    </row>
    <row r="7" spans="1:7" x14ac:dyDescent="0.25">
      <c r="A7" s="4" t="s">
        <v>8</v>
      </c>
      <c r="B7" s="2">
        <v>0.4</v>
      </c>
      <c r="C7" s="2">
        <v>0.12</v>
      </c>
      <c r="D7" s="2">
        <f t="shared" si="0"/>
        <v>0.52</v>
      </c>
      <c r="E7" s="3">
        <f t="shared" ref="E7" si="5">3*D7</f>
        <v>1.56</v>
      </c>
      <c r="F7" s="6">
        <f t="shared" si="2"/>
        <v>5.2</v>
      </c>
      <c r="G7" s="2" t="s">
        <v>22</v>
      </c>
    </row>
    <row r="8" spans="1:7" x14ac:dyDescent="0.25">
      <c r="A8" s="4" t="s">
        <v>14</v>
      </c>
      <c r="B8" s="2">
        <v>0.4</v>
      </c>
      <c r="C8" s="2">
        <v>0.48</v>
      </c>
      <c r="D8" s="2">
        <f t="shared" si="0"/>
        <v>0.88</v>
      </c>
      <c r="E8" s="3">
        <f t="shared" ref="E8" si="6">3*(D8)</f>
        <v>2.64</v>
      </c>
      <c r="F8" s="6">
        <f t="shared" si="2"/>
        <v>8.8000000000000007</v>
      </c>
      <c r="G8" s="2" t="s">
        <v>18</v>
      </c>
    </row>
    <row r="9" spans="1:7" x14ac:dyDescent="0.25">
      <c r="A9" s="4" t="s">
        <v>9</v>
      </c>
      <c r="B9" s="2">
        <v>0.4</v>
      </c>
      <c r="C9" s="2">
        <v>0.54</v>
      </c>
      <c r="D9" s="2">
        <f t="shared" si="0"/>
        <v>0.94000000000000006</v>
      </c>
      <c r="E9" s="3">
        <f t="shared" ref="E9" si="7">3*D9</f>
        <v>2.8200000000000003</v>
      </c>
      <c r="F9" s="6">
        <f t="shared" si="2"/>
        <v>9.4</v>
      </c>
      <c r="G9" s="2" t="s">
        <v>19</v>
      </c>
    </row>
    <row r="10" spans="1:7" x14ac:dyDescent="0.25">
      <c r="A10" s="4" t="s">
        <v>10</v>
      </c>
      <c r="B10" s="2">
        <v>0.4</v>
      </c>
      <c r="C10" s="2">
        <v>0.48</v>
      </c>
      <c r="D10" s="2">
        <f t="shared" si="0"/>
        <v>0.88</v>
      </c>
      <c r="E10" s="3">
        <f t="shared" ref="E10" si="8">3*(D10)</f>
        <v>2.64</v>
      </c>
      <c r="F10" s="6">
        <f t="shared" si="2"/>
        <v>8.8000000000000007</v>
      </c>
      <c r="G10" s="2" t="s">
        <v>18</v>
      </c>
    </row>
    <row r="11" spans="1:7" x14ac:dyDescent="0.25">
      <c r="A11" s="4" t="s">
        <v>11</v>
      </c>
      <c r="B11" s="2">
        <v>0.4</v>
      </c>
      <c r="C11" s="2">
        <v>0.12</v>
      </c>
      <c r="D11" s="2">
        <f t="shared" si="0"/>
        <v>0.52</v>
      </c>
      <c r="E11" s="3">
        <f t="shared" ref="E11" si="9">3*D11</f>
        <v>1.56</v>
      </c>
      <c r="F11" s="6">
        <f t="shared" si="2"/>
        <v>5.2</v>
      </c>
      <c r="G11" s="2" t="s">
        <v>20</v>
      </c>
    </row>
    <row r="12" spans="1:7" x14ac:dyDescent="0.25">
      <c r="A12" s="4" t="s">
        <v>12</v>
      </c>
      <c r="B12" s="2">
        <v>0.4</v>
      </c>
      <c r="C12" s="2">
        <v>0.48</v>
      </c>
      <c r="D12" s="2">
        <f t="shared" si="0"/>
        <v>0.88</v>
      </c>
      <c r="E12" s="3">
        <f t="shared" ref="E12" si="10">3*(D12)</f>
        <v>2.64</v>
      </c>
      <c r="F12" s="6">
        <f t="shared" si="2"/>
        <v>8.8000000000000007</v>
      </c>
      <c r="G12" s="2" t="s">
        <v>18</v>
      </c>
    </row>
    <row r="13" spans="1:7" x14ac:dyDescent="0.25">
      <c r="A13" s="1"/>
      <c r="B13" s="1"/>
      <c r="C13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parcial2</vt:lpstr>
      <vt:lpstr>Hoja2</vt:lpstr>
      <vt:lpstr>Hoja3</vt:lpstr>
    </vt:vector>
  </TitlesOfParts>
  <Company>ESTA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Yo</cp:lastModifiedBy>
  <dcterms:created xsi:type="dcterms:W3CDTF">2023-05-29T14:05:39Z</dcterms:created>
  <dcterms:modified xsi:type="dcterms:W3CDTF">2023-05-31T15:53:46Z</dcterms:modified>
</cp:coreProperties>
</file>